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ноут_Рината\NIR\Новый эксперимент\"/>
    </mc:Choice>
  </mc:AlternateContent>
  <xr:revisionPtr revIDLastSave="0" documentId="13_ncr:1_{09F57E38-EF19-4513-AADE-B7224674A70E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Таблица_Б1 для НИР" sheetId="4" r:id="rId1"/>
    <sheet name="новое разделение на О и С" sheetId="5" r:id="rId2"/>
    <sheet name="новые сценарии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6" l="1"/>
  <c r="D12" i="6" s="1"/>
  <c r="D29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36" i="4"/>
  <c r="D48" i="4"/>
  <c r="D49" i="4"/>
  <c r="D50" i="4"/>
  <c r="D51" i="4"/>
  <c r="D52" i="4"/>
  <c r="D53" i="4"/>
  <c r="D54" i="4"/>
  <c r="D47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4" i="4"/>
  <c r="D35" i="4"/>
  <c r="D37" i="4"/>
  <c r="D38" i="4"/>
  <c r="D39" i="4"/>
  <c r="D40" i="4"/>
  <c r="D41" i="4"/>
  <c r="D42" i="4"/>
  <c r="D43" i="4"/>
  <c r="D9" i="4"/>
  <c r="D10" i="4"/>
  <c r="D8" i="4"/>
  <c r="D9" i="6" l="1"/>
  <c r="D8" i="6"/>
  <c r="D11" i="6"/>
  <c r="D3" i="6"/>
  <c r="D10" i="6"/>
  <c r="D5" i="6"/>
  <c r="D6" i="6"/>
  <c r="D4" i="6"/>
  <c r="D7" i="6"/>
</calcChain>
</file>

<file path=xl/sharedStrings.xml><?xml version="1.0" encoding="utf-8"?>
<sst xmlns="http://schemas.openxmlformats.org/spreadsheetml/2006/main" count="111" uniqueCount="63">
  <si>
    <t>торговля оптовая и розничная, ремонт автотранспортных средств и мотоциклов</t>
  </si>
  <si>
    <t>государственное управление и обеспечение военной безопасности  социальное обеспечение</t>
  </si>
  <si>
    <t>строительство</t>
  </si>
  <si>
    <t>деятельность сухопутного и трубопроводного транспорта</t>
  </si>
  <si>
    <t>складское хозяйство и вспомогательная транспортная деятельность</t>
  </si>
  <si>
    <t>обеспечение электрической энергией, газом и паром, кондиционирование воздуха</t>
  </si>
  <si>
    <t>научные исследования и разработки</t>
  </si>
  <si>
    <t>производство прочих транспортных средств и оборудования</t>
  </si>
  <si>
    <t>деятельность в области информации и связи</t>
  </si>
  <si>
    <t>деятельность в области культуры,спорта,организации досуга и развлечений</t>
  </si>
  <si>
    <t>деятельность административная и сопутствующие дополнительные услуги</t>
  </si>
  <si>
    <t>сельское, лесное хозяйство,охота, рыболовство и рыбоводство</t>
  </si>
  <si>
    <t>производство пищевых продуктов</t>
  </si>
  <si>
    <t>деятельность финансовая и страховая</t>
  </si>
  <si>
    <t>производство готовых металлических изделий, кроме машин и оборудования</t>
  </si>
  <si>
    <t>деятельность по операциям с недвижимым имуществом</t>
  </si>
  <si>
    <t>производство компьютеров,электронных и оптических изделий</t>
  </si>
  <si>
    <t>производство машин и оборудования,не включенных вдругие группировки</t>
  </si>
  <si>
    <t>производство прочей неметаллической минеральной продукции</t>
  </si>
  <si>
    <t>водоснабжение  водоотведение, организация сбора и утилизация отходов, деятельность по ликвидации загрязнений</t>
  </si>
  <si>
    <t>деятельность гостиниц и предприятий общественного питания</t>
  </si>
  <si>
    <t>производство химических веществ и химических продуктов</t>
  </si>
  <si>
    <t>производство бумаги и бумажных изделий</t>
  </si>
  <si>
    <t>ремонт и монтаж машин и оборудования</t>
  </si>
  <si>
    <t>производство электрического оборудования</t>
  </si>
  <si>
    <t>деятельность почтовой связи и курьерская деятельность</t>
  </si>
  <si>
    <t>производство резиновых и пластмассовых изделий</t>
  </si>
  <si>
    <t>добыча полезных ископаемых</t>
  </si>
  <si>
    <t>производство металлургическое</t>
  </si>
  <si>
    <t>обработка древесины и производство изделий из дерева и пробки,кроме мебели, производство изделий из соломки и материалов для плетения</t>
  </si>
  <si>
    <t>производство одежды</t>
  </si>
  <si>
    <t>предоставление прочих видов услуг</t>
  </si>
  <si>
    <t>деятельность водного транспорта</t>
  </si>
  <si>
    <t>производство мебели</t>
  </si>
  <si>
    <t>деятельность воздушного и космического транспорта</t>
  </si>
  <si>
    <t>образование</t>
  </si>
  <si>
    <t>Всего</t>
  </si>
  <si>
    <t>в том числе по видам экономической деятельности:</t>
  </si>
  <si>
    <t>обрабатывающие производства</t>
  </si>
  <si>
    <t>в том числе:</t>
  </si>
  <si>
    <t>производство автотранспортныхсредств, прицепов и полуприцепов</t>
  </si>
  <si>
    <t>транспортировка и хранение</t>
  </si>
  <si>
    <t>из них:</t>
  </si>
  <si>
    <t>деятельность профессиональная,научная и техническая</t>
  </si>
  <si>
    <t>деятельность в области здравоохранения и социальных услуг</t>
  </si>
  <si>
    <t>из них деятельность в области здравоохранения</t>
  </si>
  <si>
    <t>Виды экономической деятельности</t>
  </si>
  <si>
    <t>Численность работников организаций Ленинградской области в долях к общему итогу</t>
  </si>
  <si>
    <t>Численность работников организаций    Санкт-Петербурга в долях к общему итогу</t>
  </si>
  <si>
    <t>Усредненные значения по регионам</t>
  </si>
  <si>
    <t>Численность работников организаций Ленинградской области в долях к общему итогу, %</t>
  </si>
  <si>
    <t>Численность работников организаций    Санкт-Петербурга в долях к общему итогу, %</t>
  </si>
  <si>
    <t>Усредненные значения по регионам, %</t>
  </si>
  <si>
    <t>ПРИЛОЖЕНИЕ Б</t>
  </si>
  <si>
    <t>(обязательное)</t>
  </si>
  <si>
    <t>Расчет обслуживающих и стратегических мест приложения труда в сфере образования по видам экономической деятельности для Ленинградской области и Санкт-Петербурга</t>
  </si>
  <si>
    <t>Таблица Б1 ─ Совмещенные данные экспресс-информации о численности работников организаций Ленинградской области и Санкт-Петербурга за 2024 г. по видам экономической деятельности</t>
  </si>
  <si>
    <t>Продолжение таблицы Б1 ─ Совмещенные данные экспресс-информации о численности работников организаций Ленинградской области и Санкт-Петербурга за 2024 г. по видам экономической деятельности</t>
  </si>
  <si>
    <t>стратегических должно быть</t>
  </si>
  <si>
    <t>статегическая</t>
  </si>
  <si>
    <t>государственное управление и обеспечение военной безопасности, социальное обеспечение</t>
  </si>
  <si>
    <t>сценарий 1 (как есть сейчас)</t>
  </si>
  <si>
    <t>27 - иное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</si>
</sst>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18" fillId="0" borderId="14" xfId="0" applyNumberFormat="1" applyFont="1" applyBorder="1" applyAlignment="1">
      <alignment wrapText="1"/>
    </xf>
    <xf numFmtId="0" fontId="19" fillId="0" borderId="14" xfId="0" applyFont="1" applyFill="1" applyBorder="1" applyAlignment="1">
      <alignment horizontal="left" vertical="top"/>
    </xf>
    <xf numFmtId="0" fontId="18" fillId="0" borderId="14" xfId="0" applyFont="1" applyBorder="1" applyAlignment="1">
      <alignment horizontal="left" vertical="top"/>
    </xf>
    <xf numFmtId="0" fontId="18" fillId="33" borderId="14" xfId="0" applyNumberFormat="1" applyFont="1" applyFill="1" applyBorder="1" applyAlignment="1">
      <alignment wrapText="1"/>
    </xf>
    <xf numFmtId="0" fontId="18" fillId="0" borderId="14" xfId="0" applyFont="1" applyFill="1" applyBorder="1" applyAlignment="1">
      <alignment horizontal="left" vertical="top"/>
    </xf>
    <xf numFmtId="0" fontId="18" fillId="0" borderId="15" xfId="0" applyNumberFormat="1" applyFont="1" applyBorder="1" applyAlignment="1">
      <alignment wrapText="1"/>
    </xf>
    <xf numFmtId="0" fontId="19" fillId="0" borderId="15" xfId="0" applyFont="1" applyFill="1" applyBorder="1" applyAlignment="1">
      <alignment horizontal="left" vertical="top"/>
    </xf>
    <xf numFmtId="0" fontId="18" fillId="0" borderId="16" xfId="0" applyNumberFormat="1" applyFont="1" applyBorder="1" applyAlignment="1">
      <alignment wrapText="1"/>
    </xf>
    <xf numFmtId="0" fontId="18" fillId="0" borderId="17" xfId="0" applyNumberFormat="1" applyFont="1" applyBorder="1" applyAlignment="1">
      <alignment wrapText="1"/>
    </xf>
    <xf numFmtId="0" fontId="19" fillId="0" borderId="17" xfId="0" applyFont="1" applyFill="1" applyBorder="1" applyAlignment="1">
      <alignment horizontal="left" vertical="top"/>
    </xf>
    <xf numFmtId="0" fontId="19" fillId="0" borderId="16" xfId="0" applyFont="1" applyFill="1" applyBorder="1" applyAlignment="1">
      <alignment horizontal="left" vertical="top"/>
    </xf>
    <xf numFmtId="0" fontId="18" fillId="0" borderId="10" xfId="0" applyFont="1" applyBorder="1" applyAlignment="1">
      <alignment horizontal="left" vertical="center"/>
    </xf>
    <xf numFmtId="0" fontId="18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left" vertical="top"/>
    </xf>
    <xf numFmtId="0" fontId="18" fillId="33" borderId="16" xfId="0" applyNumberFormat="1" applyFont="1" applyFill="1" applyBorder="1" applyAlignment="1">
      <alignment wrapText="1"/>
    </xf>
    <xf numFmtId="0" fontId="18" fillId="0" borderId="16" xfId="0" applyFont="1" applyBorder="1" applyAlignment="1">
      <alignment horizontal="left" vertical="top"/>
    </xf>
    <xf numFmtId="0" fontId="18" fillId="0" borderId="13" xfId="0" applyFont="1" applyBorder="1" applyAlignment="1">
      <alignment horizontal="center" vertical="center" wrapText="1"/>
    </xf>
    <xf numFmtId="0" fontId="18" fillId="34" borderId="14" xfId="0" applyNumberFormat="1" applyFont="1" applyFill="1" applyBorder="1" applyAlignment="1">
      <alignment wrapText="1"/>
    </xf>
    <xf numFmtId="0" fontId="18" fillId="34" borderId="15" xfId="0" applyNumberFormat="1" applyFont="1" applyFill="1" applyBorder="1" applyAlignment="1">
      <alignment wrapText="1"/>
    </xf>
    <xf numFmtId="0" fontId="19" fillId="34" borderId="14" xfId="0" applyFont="1" applyFill="1" applyBorder="1" applyAlignment="1">
      <alignment horizontal="left" vertical="top"/>
    </xf>
    <xf numFmtId="0" fontId="19" fillId="35" borderId="14" xfId="0" applyFont="1" applyFill="1" applyBorder="1" applyAlignment="1">
      <alignment horizontal="left" vertical="top"/>
    </xf>
    <xf numFmtId="0" fontId="19" fillId="35" borderId="15" xfId="0" applyFont="1" applyFill="1" applyBorder="1" applyAlignment="1">
      <alignment horizontal="left" vertical="top"/>
    </xf>
    <xf numFmtId="0" fontId="0" fillId="0" borderId="0" xfId="0" applyAlignment="1"/>
    <xf numFmtId="0" fontId="19" fillId="36" borderId="14" xfId="0" applyFont="1" applyFill="1" applyBorder="1" applyAlignment="1">
      <alignment horizontal="left" vertical="top"/>
    </xf>
    <xf numFmtId="0" fontId="19" fillId="34" borderId="14" xfId="0" applyNumberFormat="1" applyFont="1" applyFill="1" applyBorder="1" applyAlignment="1">
      <alignment wrapText="1"/>
    </xf>
    <xf numFmtId="0" fontId="0" fillId="37" borderId="18" xfId="0" applyFill="1" applyBorder="1" applyAlignment="1"/>
    <xf numFmtId="0" fontId="0" fillId="0" borderId="0" xfId="0" applyFill="1" applyAlignment="1"/>
    <xf numFmtId="0" fontId="0" fillId="0" borderId="14" xfId="0" applyBorder="1" applyAlignment="1">
      <alignment horizontal="center" vertical="top"/>
    </xf>
    <xf numFmtId="2" fontId="0" fillId="0" borderId="0" xfId="0" applyNumberFormat="1" applyAlignment="1"/>
    <xf numFmtId="0" fontId="18" fillId="0" borderId="11" xfId="0" applyFont="1" applyBorder="1" applyAlignment="1">
      <alignment horizontal="left" vertical="top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left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opLeftCell="A11" zoomScale="70" zoomScaleNormal="70" zoomScalePageLayoutView="55" workbookViewId="0">
      <selection activeCell="A37" sqref="A37"/>
    </sheetView>
  </sheetViews>
  <sheetFormatPr defaultRowHeight="14.4" x14ac:dyDescent="0.3"/>
  <cols>
    <col min="1" max="1" width="98.109375" customWidth="1"/>
    <col min="2" max="2" width="43.6640625" customWidth="1"/>
    <col min="3" max="3" width="38.6640625" customWidth="1"/>
    <col min="4" max="4" width="17.44140625" customWidth="1"/>
  </cols>
  <sheetData>
    <row r="1" spans="1:4" ht="15.6" x14ac:dyDescent="0.3">
      <c r="A1" s="32" t="s">
        <v>53</v>
      </c>
      <c r="B1" s="32"/>
      <c r="C1" s="32"/>
      <c r="D1" s="32"/>
    </row>
    <row r="2" spans="1:4" ht="15.6" x14ac:dyDescent="0.3">
      <c r="A2" s="32" t="s">
        <v>54</v>
      </c>
      <c r="B2" s="32"/>
      <c r="C2" s="32"/>
      <c r="D2" s="32"/>
    </row>
    <row r="3" spans="1:4" ht="15.6" x14ac:dyDescent="0.3">
      <c r="A3" s="32" t="s">
        <v>55</v>
      </c>
      <c r="B3" s="32"/>
      <c r="C3" s="32"/>
      <c r="D3" s="32"/>
    </row>
    <row r="4" spans="1:4" ht="16.2" thickBot="1" x14ac:dyDescent="0.35">
      <c r="A4" s="31" t="s">
        <v>56</v>
      </c>
      <c r="B4" s="31"/>
      <c r="C4" s="31"/>
      <c r="D4" s="31"/>
    </row>
    <row r="5" spans="1:4" ht="47.4" customHeight="1" thickBot="1" x14ac:dyDescent="0.35">
      <c r="A5" s="12" t="s">
        <v>46</v>
      </c>
      <c r="B5" s="13" t="s">
        <v>50</v>
      </c>
      <c r="C5" s="13" t="s">
        <v>51</v>
      </c>
      <c r="D5" s="14" t="s">
        <v>52</v>
      </c>
    </row>
    <row r="6" spans="1:4" ht="15.6" x14ac:dyDescent="0.3">
      <c r="A6" s="8" t="s">
        <v>36</v>
      </c>
      <c r="B6" s="11">
        <v>100</v>
      </c>
      <c r="C6" s="11">
        <v>100</v>
      </c>
      <c r="D6" s="11">
        <v>100</v>
      </c>
    </row>
    <row r="7" spans="1:4" ht="15.6" x14ac:dyDescent="0.3">
      <c r="A7" s="1" t="s">
        <v>37</v>
      </c>
      <c r="B7" s="2"/>
      <c r="C7" s="3"/>
      <c r="D7" s="3"/>
    </row>
    <row r="8" spans="1:4" ht="15.6" x14ac:dyDescent="0.3">
      <c r="A8" s="1" t="s">
        <v>11</v>
      </c>
      <c r="B8" s="2">
        <v>3.5</v>
      </c>
      <c r="C8" s="2">
        <v>0.2</v>
      </c>
      <c r="D8" s="15">
        <f>AVERAGE(B8:C8)</f>
        <v>1.85</v>
      </c>
    </row>
    <row r="9" spans="1:4" ht="15.6" x14ac:dyDescent="0.3">
      <c r="A9" s="1" t="s">
        <v>27</v>
      </c>
      <c r="B9" s="2">
        <v>0.9</v>
      </c>
      <c r="C9" s="2">
        <v>0.2</v>
      </c>
      <c r="D9" s="15">
        <f t="shared" ref="D9:D43" si="0">AVERAGE(B9:C9)</f>
        <v>0.55000000000000004</v>
      </c>
    </row>
    <row r="10" spans="1:4" ht="15.6" x14ac:dyDescent="0.3">
      <c r="A10" s="1" t="s">
        <v>38</v>
      </c>
      <c r="B10" s="2">
        <v>22.7</v>
      </c>
      <c r="C10" s="2">
        <v>15.7</v>
      </c>
      <c r="D10" s="15">
        <f t="shared" si="0"/>
        <v>19.2</v>
      </c>
    </row>
    <row r="11" spans="1:4" ht="15.6" x14ac:dyDescent="0.3">
      <c r="A11" s="4" t="s">
        <v>39</v>
      </c>
      <c r="B11" s="3"/>
      <c r="C11" s="3"/>
      <c r="D11" s="3"/>
    </row>
    <row r="12" spans="1:4" ht="15.6" x14ac:dyDescent="0.3">
      <c r="A12" s="4" t="s">
        <v>12</v>
      </c>
      <c r="B12" s="3">
        <v>2.5</v>
      </c>
      <c r="C12" s="3">
        <v>1.2</v>
      </c>
      <c r="D12" s="3">
        <f t="shared" si="0"/>
        <v>1.85</v>
      </c>
    </row>
    <row r="13" spans="1:4" ht="15.6" x14ac:dyDescent="0.3">
      <c r="A13" s="4" t="s">
        <v>30</v>
      </c>
      <c r="B13" s="3">
        <v>0.5</v>
      </c>
      <c r="C13" s="3">
        <v>0.1</v>
      </c>
      <c r="D13" s="3">
        <f t="shared" si="0"/>
        <v>0.3</v>
      </c>
    </row>
    <row r="14" spans="1:4" ht="31.2" x14ac:dyDescent="0.3">
      <c r="A14" s="4" t="s">
        <v>29</v>
      </c>
      <c r="B14" s="3">
        <v>0.6</v>
      </c>
      <c r="C14" s="3">
        <v>0.1</v>
      </c>
      <c r="D14" s="3">
        <f t="shared" si="0"/>
        <v>0.35</v>
      </c>
    </row>
    <row r="15" spans="1:4" ht="15.6" x14ac:dyDescent="0.3">
      <c r="A15" s="4" t="s">
        <v>22</v>
      </c>
      <c r="B15" s="3">
        <v>2</v>
      </c>
      <c r="C15" s="3">
        <v>0.2</v>
      </c>
      <c r="D15" s="3">
        <f t="shared" si="0"/>
        <v>1.1000000000000001</v>
      </c>
    </row>
    <row r="16" spans="1:4" ht="15.6" x14ac:dyDescent="0.3">
      <c r="A16" s="4" t="s">
        <v>21</v>
      </c>
      <c r="B16" s="3">
        <v>1.8</v>
      </c>
      <c r="C16" s="3">
        <v>0.5</v>
      </c>
      <c r="D16" s="3">
        <f t="shared" si="0"/>
        <v>1.1499999999999999</v>
      </c>
    </row>
    <row r="17" spans="1:4" ht="15.6" x14ac:dyDescent="0.3">
      <c r="A17" s="4" t="s">
        <v>26</v>
      </c>
      <c r="B17" s="3">
        <v>0.9</v>
      </c>
      <c r="C17" s="3">
        <v>0.3</v>
      </c>
      <c r="D17" s="3">
        <f t="shared" si="0"/>
        <v>0.6</v>
      </c>
    </row>
    <row r="18" spans="1:4" ht="15.6" x14ac:dyDescent="0.3">
      <c r="A18" s="4" t="s">
        <v>18</v>
      </c>
      <c r="B18" s="3">
        <v>2.2000000000000002</v>
      </c>
      <c r="C18" s="3">
        <v>0.5</v>
      </c>
      <c r="D18" s="3">
        <f t="shared" si="0"/>
        <v>1.35</v>
      </c>
    </row>
    <row r="19" spans="1:4" ht="15.6" x14ac:dyDescent="0.3">
      <c r="A19" s="4" t="s">
        <v>28</v>
      </c>
      <c r="B19" s="3">
        <v>0.5</v>
      </c>
      <c r="C19" s="3">
        <v>0.4</v>
      </c>
      <c r="D19" s="3">
        <f t="shared" si="0"/>
        <v>0.45</v>
      </c>
    </row>
    <row r="20" spans="1:4" ht="15.6" x14ac:dyDescent="0.3">
      <c r="A20" s="4" t="s">
        <v>14</v>
      </c>
      <c r="B20" s="3">
        <v>1.6</v>
      </c>
      <c r="C20" s="3">
        <v>1.6</v>
      </c>
      <c r="D20" s="3">
        <f t="shared" si="0"/>
        <v>1.6</v>
      </c>
    </row>
    <row r="21" spans="1:4" ht="15.6" x14ac:dyDescent="0.3">
      <c r="A21" s="4" t="s">
        <v>16</v>
      </c>
      <c r="B21" s="3">
        <v>0.5</v>
      </c>
      <c r="C21" s="3">
        <v>2.4</v>
      </c>
      <c r="D21" s="3">
        <f t="shared" si="0"/>
        <v>1.45</v>
      </c>
    </row>
    <row r="22" spans="1:4" ht="15.6" x14ac:dyDescent="0.3">
      <c r="A22" s="4" t="s">
        <v>24</v>
      </c>
      <c r="B22" s="3">
        <v>0.7</v>
      </c>
      <c r="C22" s="3">
        <v>0.9</v>
      </c>
      <c r="D22" s="3">
        <f t="shared" si="0"/>
        <v>0.8</v>
      </c>
    </row>
    <row r="23" spans="1:4" ht="15.6" x14ac:dyDescent="0.3">
      <c r="A23" s="4" t="s">
        <v>17</v>
      </c>
      <c r="B23" s="3">
        <v>0.9</v>
      </c>
      <c r="C23" s="3">
        <v>2</v>
      </c>
      <c r="D23" s="3">
        <f t="shared" si="0"/>
        <v>1.45</v>
      </c>
    </row>
    <row r="24" spans="1:4" ht="15.6" x14ac:dyDescent="0.3">
      <c r="A24" s="4" t="s">
        <v>40</v>
      </c>
      <c r="B24" s="3">
        <v>0.2</v>
      </c>
      <c r="C24" s="3">
        <v>0.2</v>
      </c>
      <c r="D24" s="3">
        <f t="shared" si="0"/>
        <v>0.2</v>
      </c>
    </row>
    <row r="25" spans="1:4" ht="15.6" x14ac:dyDescent="0.3">
      <c r="A25" s="4" t="s">
        <v>7</v>
      </c>
      <c r="B25" s="3">
        <v>3.3</v>
      </c>
      <c r="C25" s="3">
        <v>2.4</v>
      </c>
      <c r="D25" s="3">
        <f t="shared" si="0"/>
        <v>2.8499999999999996</v>
      </c>
    </row>
    <row r="26" spans="1:4" ht="15.6" x14ac:dyDescent="0.3">
      <c r="A26" s="4" t="s">
        <v>33</v>
      </c>
      <c r="B26" s="3">
        <v>0.3</v>
      </c>
      <c r="C26" s="3">
        <v>0.1</v>
      </c>
      <c r="D26" s="3">
        <f t="shared" si="0"/>
        <v>0.2</v>
      </c>
    </row>
    <row r="27" spans="1:4" ht="15.6" x14ac:dyDescent="0.3">
      <c r="A27" s="4" t="s">
        <v>23</v>
      </c>
      <c r="B27" s="5">
        <v>1</v>
      </c>
      <c r="C27" s="5">
        <v>0.8</v>
      </c>
      <c r="D27" s="3">
        <f t="shared" si="0"/>
        <v>0.9</v>
      </c>
    </row>
    <row r="28" spans="1:4" ht="15.6" x14ac:dyDescent="0.3">
      <c r="A28" s="1" t="s">
        <v>5</v>
      </c>
      <c r="B28" s="2">
        <v>5.2</v>
      </c>
      <c r="C28" s="2">
        <v>1.8</v>
      </c>
      <c r="D28" s="15">
        <f t="shared" si="0"/>
        <v>3.5</v>
      </c>
    </row>
    <row r="29" spans="1:4" ht="31.2" x14ac:dyDescent="0.3">
      <c r="A29" s="1" t="s">
        <v>19</v>
      </c>
      <c r="B29" s="2">
        <v>1.7</v>
      </c>
      <c r="C29" s="2">
        <v>0.9</v>
      </c>
      <c r="D29" s="15">
        <f t="shared" si="0"/>
        <v>1.3</v>
      </c>
    </row>
    <row r="30" spans="1:4" ht="15.6" x14ac:dyDescent="0.3">
      <c r="A30" s="1" t="s">
        <v>2</v>
      </c>
      <c r="B30" s="2">
        <v>8.6</v>
      </c>
      <c r="C30" s="2">
        <v>3.7</v>
      </c>
      <c r="D30" s="15">
        <f t="shared" si="0"/>
        <v>6.15</v>
      </c>
    </row>
    <row r="31" spans="1:4" ht="15.6" x14ac:dyDescent="0.3">
      <c r="A31" s="1" t="s">
        <v>0</v>
      </c>
      <c r="B31" s="2">
        <v>10.9</v>
      </c>
      <c r="C31" s="2">
        <v>12.5</v>
      </c>
      <c r="D31" s="15">
        <f t="shared" si="0"/>
        <v>11.7</v>
      </c>
    </row>
    <row r="32" spans="1:4" ht="15.6" x14ac:dyDescent="0.3">
      <c r="A32" s="1" t="s">
        <v>41</v>
      </c>
      <c r="B32" s="2">
        <v>8.5</v>
      </c>
      <c r="C32" s="2">
        <v>9.6999999999999993</v>
      </c>
      <c r="D32" s="15">
        <f t="shared" si="0"/>
        <v>9.1</v>
      </c>
    </row>
    <row r="33" spans="1:4" ht="15.6" x14ac:dyDescent="0.3">
      <c r="A33" s="4" t="s">
        <v>42</v>
      </c>
      <c r="B33" s="3"/>
      <c r="C33" s="3"/>
      <c r="D33" s="3"/>
    </row>
    <row r="34" spans="1:4" ht="15.6" x14ac:dyDescent="0.3">
      <c r="A34" s="4" t="s">
        <v>3</v>
      </c>
      <c r="B34" s="3">
        <v>3</v>
      </c>
      <c r="C34" s="3">
        <v>4.9000000000000004</v>
      </c>
      <c r="D34" s="3">
        <f t="shared" si="0"/>
        <v>3.95</v>
      </c>
    </row>
    <row r="35" spans="1:4" ht="15.6" x14ac:dyDescent="0.3">
      <c r="A35" s="4" t="s">
        <v>32</v>
      </c>
      <c r="B35" s="3">
        <v>0.2</v>
      </c>
      <c r="C35" s="3">
        <v>0.3</v>
      </c>
      <c r="D35" s="3">
        <f t="shared" si="0"/>
        <v>0.25</v>
      </c>
    </row>
    <row r="36" spans="1:4" ht="15.6" x14ac:dyDescent="0.3">
      <c r="A36" s="4" t="s">
        <v>34</v>
      </c>
      <c r="B36" s="3"/>
      <c r="C36" s="3">
        <v>0.4</v>
      </c>
      <c r="D36" s="3">
        <f>C36/2</f>
        <v>0.2</v>
      </c>
    </row>
    <row r="37" spans="1:4" ht="15.6" x14ac:dyDescent="0.3">
      <c r="A37" s="4" t="s">
        <v>4</v>
      </c>
      <c r="B37" s="3">
        <v>4.7</v>
      </c>
      <c r="C37" s="3">
        <v>3.1</v>
      </c>
      <c r="D37" s="3">
        <f t="shared" si="0"/>
        <v>3.9000000000000004</v>
      </c>
    </row>
    <row r="38" spans="1:4" ht="15.6" x14ac:dyDescent="0.3">
      <c r="A38" s="4" t="s">
        <v>25</v>
      </c>
      <c r="B38" s="3">
        <v>0.6</v>
      </c>
      <c r="C38" s="2">
        <v>1</v>
      </c>
      <c r="D38" s="3">
        <f t="shared" si="0"/>
        <v>0.8</v>
      </c>
    </row>
    <row r="39" spans="1:4" ht="15.6" x14ac:dyDescent="0.3">
      <c r="A39" s="1" t="s">
        <v>20</v>
      </c>
      <c r="B39" s="2">
        <v>1</v>
      </c>
      <c r="C39" s="2">
        <v>1.6</v>
      </c>
      <c r="D39" s="15">
        <f t="shared" si="0"/>
        <v>1.3</v>
      </c>
    </row>
    <row r="40" spans="1:4" ht="15.6" x14ac:dyDescent="0.3">
      <c r="A40" s="1" t="s">
        <v>8</v>
      </c>
      <c r="B40" s="2">
        <v>0.7</v>
      </c>
      <c r="C40" s="2">
        <v>4.7</v>
      </c>
      <c r="D40" s="15">
        <f t="shared" si="0"/>
        <v>2.7</v>
      </c>
    </row>
    <row r="41" spans="1:4" ht="15.6" x14ac:dyDescent="0.3">
      <c r="A41" s="1" t="s">
        <v>13</v>
      </c>
      <c r="B41" s="2">
        <v>0.5</v>
      </c>
      <c r="C41" s="2">
        <v>2.8</v>
      </c>
      <c r="D41" s="15">
        <f t="shared" si="0"/>
        <v>1.65</v>
      </c>
    </row>
    <row r="42" spans="1:4" ht="15.6" x14ac:dyDescent="0.3">
      <c r="A42" s="1" t="s">
        <v>15</v>
      </c>
      <c r="B42" s="2">
        <v>0.9</v>
      </c>
      <c r="C42" s="2">
        <v>2.1</v>
      </c>
      <c r="D42" s="15">
        <f t="shared" si="0"/>
        <v>1.5</v>
      </c>
    </row>
    <row r="43" spans="1:4" ht="15.6" x14ac:dyDescent="0.3">
      <c r="A43" s="6" t="s">
        <v>43</v>
      </c>
      <c r="B43" s="7">
        <v>2.8</v>
      </c>
      <c r="C43" s="7">
        <v>8</v>
      </c>
      <c r="D43" s="15">
        <f t="shared" si="0"/>
        <v>5.4</v>
      </c>
    </row>
    <row r="44" spans="1:4" ht="15.6" x14ac:dyDescent="0.3">
      <c r="A44" s="9"/>
      <c r="B44" s="10"/>
      <c r="C44" s="10"/>
    </row>
    <row r="45" spans="1:4" ht="16.2" thickBot="1" x14ac:dyDescent="0.35">
      <c r="A45" s="33" t="s">
        <v>57</v>
      </c>
      <c r="B45" s="33"/>
      <c r="C45" s="33"/>
      <c r="D45" s="33"/>
    </row>
    <row r="46" spans="1:4" ht="51.6" customHeight="1" thickBot="1" x14ac:dyDescent="0.35">
      <c r="A46" s="12" t="s">
        <v>46</v>
      </c>
      <c r="B46" s="13" t="s">
        <v>47</v>
      </c>
      <c r="C46" s="13" t="s">
        <v>48</v>
      </c>
      <c r="D46" s="18" t="s">
        <v>49</v>
      </c>
    </row>
    <row r="47" spans="1:4" ht="15.6" x14ac:dyDescent="0.3">
      <c r="A47" s="16" t="s">
        <v>6</v>
      </c>
      <c r="B47" s="17">
        <v>1.6</v>
      </c>
      <c r="C47" s="17">
        <v>4.2</v>
      </c>
      <c r="D47" s="3">
        <f>AVERAGE(B47:C47)</f>
        <v>2.9000000000000004</v>
      </c>
    </row>
    <row r="48" spans="1:4" ht="15.6" x14ac:dyDescent="0.3">
      <c r="A48" s="1" t="s">
        <v>10</v>
      </c>
      <c r="B48" s="2">
        <v>2</v>
      </c>
      <c r="C48" s="2">
        <v>2.8</v>
      </c>
      <c r="D48" s="15">
        <f t="shared" ref="D48:D54" si="1">AVERAGE(B48:C48)</f>
        <v>2.4</v>
      </c>
    </row>
    <row r="49" spans="1:4" ht="15.6" x14ac:dyDescent="0.3">
      <c r="A49" s="1" t="s">
        <v>1</v>
      </c>
      <c r="B49" s="2">
        <v>7</v>
      </c>
      <c r="C49" s="2">
        <v>5.7</v>
      </c>
      <c r="D49" s="15">
        <f t="shared" si="1"/>
        <v>6.35</v>
      </c>
    </row>
    <row r="50" spans="1:4" ht="15.6" x14ac:dyDescent="0.3">
      <c r="A50" s="1" t="s">
        <v>35</v>
      </c>
      <c r="B50" s="2">
        <v>11.6</v>
      </c>
      <c r="C50" s="2">
        <v>13.5</v>
      </c>
      <c r="D50" s="15">
        <f t="shared" si="1"/>
        <v>12.55</v>
      </c>
    </row>
    <row r="51" spans="1:4" ht="15.6" x14ac:dyDescent="0.3">
      <c r="A51" s="1" t="s">
        <v>44</v>
      </c>
      <c r="B51" s="2">
        <v>9.1</v>
      </c>
      <c r="C51" s="2">
        <v>10.9</v>
      </c>
      <c r="D51" s="15">
        <f t="shared" si="1"/>
        <v>10</v>
      </c>
    </row>
    <row r="52" spans="1:4" ht="15.6" x14ac:dyDescent="0.3">
      <c r="A52" s="4" t="s">
        <v>45</v>
      </c>
      <c r="B52" s="3">
        <v>7.5</v>
      </c>
      <c r="C52" s="3">
        <v>9.6</v>
      </c>
      <c r="D52" s="3">
        <f t="shared" si="1"/>
        <v>8.5500000000000007</v>
      </c>
    </row>
    <row r="53" spans="1:4" ht="15.6" x14ac:dyDescent="0.3">
      <c r="A53" s="1" t="s">
        <v>9</v>
      </c>
      <c r="B53" s="2">
        <v>2.1</v>
      </c>
      <c r="C53" s="2">
        <v>2.9</v>
      </c>
      <c r="D53" s="15">
        <f t="shared" si="1"/>
        <v>2.5</v>
      </c>
    </row>
    <row r="54" spans="1:4" ht="15.6" x14ac:dyDescent="0.3">
      <c r="A54" s="1" t="s">
        <v>31</v>
      </c>
      <c r="B54" s="2">
        <v>0.3</v>
      </c>
      <c r="C54" s="2">
        <v>0.3</v>
      </c>
      <c r="D54" s="15">
        <f t="shared" si="1"/>
        <v>0.3</v>
      </c>
    </row>
  </sheetData>
  <mergeCells count="5">
    <mergeCell ref="A4:D4"/>
    <mergeCell ref="A1:D1"/>
    <mergeCell ref="A45:D45"/>
    <mergeCell ref="A2:D2"/>
    <mergeCell ref="A3:D3"/>
  </mergeCells>
  <pageMargins left="0.7" right="0.7" top="0.75" bottom="0.75" header="0.3" footer="0.3"/>
  <pageSetup paperSize="8" scale="97" orientation="landscape" r:id="rId1"/>
  <headerFooter>
    <oddFooter>&amp;R&amp;P</oddFooter>
  </headerFooter>
  <rowBreaks count="1" manualBreakCount="1">
    <brk id="4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89E9-D851-4395-9DCD-F2E40D758698}">
  <dimension ref="A1:E29"/>
  <sheetViews>
    <sheetView topLeftCell="A13" zoomScale="70" zoomScaleNormal="70" workbookViewId="0">
      <selection activeCell="F6" sqref="F6"/>
    </sheetView>
  </sheetViews>
  <sheetFormatPr defaultRowHeight="14.4" x14ac:dyDescent="0.3"/>
  <cols>
    <col min="1" max="1" width="35.5546875" bestFit="1" customWidth="1"/>
    <col min="2" max="2" width="37.6640625" customWidth="1"/>
    <col min="3" max="3" width="56.21875" customWidth="1"/>
    <col min="4" max="4" width="49" customWidth="1"/>
    <col min="5" max="5" width="35.109375" customWidth="1"/>
  </cols>
  <sheetData>
    <row r="1" spans="1:5" ht="15.6" x14ac:dyDescent="0.3">
      <c r="A1" s="32" t="s">
        <v>53</v>
      </c>
      <c r="B1" s="32"/>
      <c r="C1" s="32"/>
      <c r="D1" s="32"/>
    </row>
    <row r="2" spans="1:5" ht="15.6" x14ac:dyDescent="0.3">
      <c r="A2" s="32" t="s">
        <v>54</v>
      </c>
      <c r="B2" s="32"/>
      <c r="C2" s="32"/>
      <c r="D2" s="32"/>
    </row>
    <row r="3" spans="1:5" ht="15.6" x14ac:dyDescent="0.3">
      <c r="A3" s="32" t="s">
        <v>55</v>
      </c>
      <c r="B3" s="32"/>
      <c r="C3" s="32"/>
      <c r="D3" s="32"/>
    </row>
    <row r="4" spans="1:5" ht="16.2" thickBot="1" x14ac:dyDescent="0.35">
      <c r="A4" s="31" t="s">
        <v>56</v>
      </c>
      <c r="B4" s="31"/>
      <c r="C4" s="31"/>
      <c r="D4" s="31"/>
    </row>
    <row r="5" spans="1:5" ht="16.05" customHeight="1" thickBot="1" x14ac:dyDescent="0.35">
      <c r="A5" s="12" t="s">
        <v>46</v>
      </c>
      <c r="B5" s="13" t="s">
        <v>50</v>
      </c>
      <c r="C5" s="13" t="s">
        <v>51</v>
      </c>
      <c r="D5" s="14" t="s">
        <v>52</v>
      </c>
    </row>
    <row r="6" spans="1:5" ht="16.05" customHeight="1" x14ac:dyDescent="0.3">
      <c r="A6" s="8" t="s">
        <v>36</v>
      </c>
      <c r="B6" s="11">
        <v>100</v>
      </c>
      <c r="C6" s="11">
        <v>100</v>
      </c>
      <c r="D6" s="11">
        <v>100</v>
      </c>
    </row>
    <row r="7" spans="1:5" ht="16.05" customHeight="1" x14ac:dyDescent="0.3">
      <c r="A7" s="1" t="s">
        <v>37</v>
      </c>
      <c r="B7" s="2"/>
      <c r="C7" s="3"/>
      <c r="D7" s="3"/>
    </row>
    <row r="8" spans="1:5" ht="31.2" x14ac:dyDescent="0.3">
      <c r="A8" s="19" t="s">
        <v>11</v>
      </c>
      <c r="B8" s="22">
        <v>3.5</v>
      </c>
      <c r="C8" s="22">
        <v>0.2</v>
      </c>
      <c r="D8" s="21">
        <f>AVERAGE(B8:C8)</f>
        <v>1.85</v>
      </c>
      <c r="E8" t="s">
        <v>59</v>
      </c>
    </row>
    <row r="9" spans="1:5" ht="16.05" customHeight="1" x14ac:dyDescent="0.3">
      <c r="A9" s="19" t="s">
        <v>27</v>
      </c>
      <c r="B9" s="22">
        <v>0.9</v>
      </c>
      <c r="C9" s="22">
        <v>0.2</v>
      </c>
      <c r="D9" s="21">
        <f t="shared" ref="D9:D20" si="0">AVERAGE(B9:C9)</f>
        <v>0.55000000000000004</v>
      </c>
      <c r="E9" t="s">
        <v>59</v>
      </c>
    </row>
    <row r="10" spans="1:5" ht="16.05" customHeight="1" x14ac:dyDescent="0.3">
      <c r="A10" s="19" t="s">
        <v>38</v>
      </c>
      <c r="B10" s="22">
        <v>22.7</v>
      </c>
      <c r="C10" s="22">
        <v>15.7</v>
      </c>
      <c r="D10" s="21">
        <f t="shared" si="0"/>
        <v>19.2</v>
      </c>
      <c r="E10" t="s">
        <v>59</v>
      </c>
    </row>
    <row r="11" spans="1:5" ht="16.05" customHeight="1" x14ac:dyDescent="0.3">
      <c r="A11" s="19" t="s">
        <v>5</v>
      </c>
      <c r="B11" s="22">
        <v>5.2</v>
      </c>
      <c r="C11" s="22">
        <v>1.8</v>
      </c>
      <c r="D11" s="21">
        <f t="shared" si="0"/>
        <v>3.5</v>
      </c>
      <c r="E11" t="s">
        <v>59</v>
      </c>
    </row>
    <row r="12" spans="1:5" ht="16.05" customHeight="1" x14ac:dyDescent="0.3">
      <c r="A12" s="19" t="s">
        <v>19</v>
      </c>
      <c r="B12" s="22">
        <v>1.7</v>
      </c>
      <c r="C12" s="22">
        <v>0.9</v>
      </c>
      <c r="D12" s="21">
        <f t="shared" si="0"/>
        <v>1.3</v>
      </c>
      <c r="E12" t="s">
        <v>59</v>
      </c>
    </row>
    <row r="13" spans="1:5" ht="16.05" customHeight="1" x14ac:dyDescent="0.3">
      <c r="A13" s="19" t="s">
        <v>2</v>
      </c>
      <c r="B13" s="22">
        <v>8.6</v>
      </c>
      <c r="C13" s="22">
        <v>3.7</v>
      </c>
      <c r="D13" s="21">
        <f t="shared" si="0"/>
        <v>6.15</v>
      </c>
      <c r="E13" t="s">
        <v>59</v>
      </c>
    </row>
    <row r="14" spans="1:5" ht="46.8" x14ac:dyDescent="0.3">
      <c r="A14" s="1" t="s">
        <v>0</v>
      </c>
      <c r="B14" s="2">
        <v>10.9</v>
      </c>
      <c r="C14" s="2">
        <v>12.5</v>
      </c>
      <c r="D14" s="15">
        <f t="shared" si="0"/>
        <v>11.7</v>
      </c>
    </row>
    <row r="15" spans="1:5" ht="16.05" customHeight="1" x14ac:dyDescent="0.3">
      <c r="A15" s="19" t="s">
        <v>41</v>
      </c>
      <c r="B15" s="22">
        <v>8.5</v>
      </c>
      <c r="C15" s="22">
        <v>9.6999999999999993</v>
      </c>
      <c r="D15" s="21">
        <f t="shared" si="0"/>
        <v>9.1</v>
      </c>
      <c r="E15" t="s">
        <v>59</v>
      </c>
    </row>
    <row r="16" spans="1:5" ht="46.8" x14ac:dyDescent="0.3">
      <c r="A16" s="1" t="s">
        <v>20</v>
      </c>
      <c r="B16" s="2">
        <v>1</v>
      </c>
      <c r="C16" s="2">
        <v>1.6</v>
      </c>
      <c r="D16" s="15">
        <f t="shared" si="0"/>
        <v>1.3</v>
      </c>
    </row>
    <row r="17" spans="1:5" ht="31.2" x14ac:dyDescent="0.3">
      <c r="A17" s="19" t="s">
        <v>8</v>
      </c>
      <c r="B17" s="22">
        <v>0.7</v>
      </c>
      <c r="C17" s="22">
        <v>4.7</v>
      </c>
      <c r="D17" s="21">
        <f t="shared" si="0"/>
        <v>2.7</v>
      </c>
      <c r="E17" t="s">
        <v>59</v>
      </c>
    </row>
    <row r="18" spans="1:5" ht="31.2" x14ac:dyDescent="0.3">
      <c r="A18" s="1" t="s">
        <v>13</v>
      </c>
      <c r="B18" s="2">
        <v>0.5</v>
      </c>
      <c r="C18" s="2">
        <v>2.8</v>
      </c>
      <c r="D18" s="15">
        <f t="shared" si="0"/>
        <v>1.65</v>
      </c>
    </row>
    <row r="19" spans="1:5" ht="31.2" x14ac:dyDescent="0.3">
      <c r="A19" s="1" t="s">
        <v>15</v>
      </c>
      <c r="B19" s="2">
        <v>0.9</v>
      </c>
      <c r="C19" s="2">
        <v>2.1</v>
      </c>
      <c r="D19" s="15">
        <f t="shared" si="0"/>
        <v>1.5</v>
      </c>
    </row>
    <row r="20" spans="1:5" ht="46.8" x14ac:dyDescent="0.3">
      <c r="A20" s="20" t="s">
        <v>43</v>
      </c>
      <c r="B20" s="23">
        <v>2.8</v>
      </c>
      <c r="C20" s="23">
        <v>8</v>
      </c>
      <c r="D20" s="21">
        <f t="shared" si="0"/>
        <v>5.4</v>
      </c>
      <c r="E20" t="s">
        <v>59</v>
      </c>
    </row>
    <row r="21" spans="1:5" ht="46.8" x14ac:dyDescent="0.3">
      <c r="A21" s="1" t="s">
        <v>10</v>
      </c>
      <c r="B21" s="2">
        <v>2</v>
      </c>
      <c r="C21" s="2">
        <v>2.8</v>
      </c>
      <c r="D21" s="15">
        <f t="shared" ref="D21:D26" si="1">AVERAGE(B21:C21)</f>
        <v>2.4</v>
      </c>
    </row>
    <row r="22" spans="1:5" ht="46.8" x14ac:dyDescent="0.3">
      <c r="A22" s="19" t="s">
        <v>1</v>
      </c>
      <c r="B22" s="22">
        <v>7</v>
      </c>
      <c r="C22" s="22">
        <v>5.7</v>
      </c>
      <c r="D22" s="21">
        <f t="shared" si="1"/>
        <v>6.35</v>
      </c>
      <c r="E22" t="s">
        <v>59</v>
      </c>
    </row>
    <row r="23" spans="1:5" ht="15.6" x14ac:dyDescent="0.3">
      <c r="A23" s="1" t="s">
        <v>35</v>
      </c>
      <c r="B23" s="2">
        <v>11.6</v>
      </c>
      <c r="C23" s="2">
        <v>13.5</v>
      </c>
      <c r="D23" s="2">
        <f t="shared" si="1"/>
        <v>12.55</v>
      </c>
    </row>
    <row r="24" spans="1:5" ht="46.8" x14ac:dyDescent="0.3">
      <c r="A24" s="1" t="s">
        <v>44</v>
      </c>
      <c r="B24" s="2">
        <v>9.1</v>
      </c>
      <c r="C24" s="2">
        <v>10.9</v>
      </c>
      <c r="D24" s="15">
        <f t="shared" si="1"/>
        <v>10</v>
      </c>
    </row>
    <row r="25" spans="1:5" ht="46.8" x14ac:dyDescent="0.3">
      <c r="A25" s="1" t="s">
        <v>9</v>
      </c>
      <c r="B25" s="2">
        <v>2.1</v>
      </c>
      <c r="C25" s="2">
        <v>2.9</v>
      </c>
      <c r="D25" s="15">
        <f t="shared" si="1"/>
        <v>2.5</v>
      </c>
    </row>
    <row r="26" spans="1:5" ht="16.05" customHeight="1" x14ac:dyDescent="0.3">
      <c r="A26" s="1" t="s">
        <v>31</v>
      </c>
      <c r="B26" s="2">
        <v>0.3</v>
      </c>
      <c r="C26" s="2">
        <v>0.3</v>
      </c>
      <c r="D26" s="15">
        <f t="shared" si="1"/>
        <v>0.3</v>
      </c>
    </row>
    <row r="29" spans="1:5" x14ac:dyDescent="0.3">
      <c r="C29" t="s">
        <v>58</v>
      </c>
      <c r="D29">
        <f>SUM(D22,D20,D17,D15,D13,D12,D11,D10,D9,D8)</f>
        <v>56.1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3B70-0308-4836-BD3F-EC07E31434DF}">
  <dimension ref="A1:D16"/>
  <sheetViews>
    <sheetView tabSelected="1" workbookViewId="0">
      <selection activeCell="H15" sqref="H15"/>
    </sheetView>
  </sheetViews>
  <sheetFormatPr defaultRowHeight="14.4" x14ac:dyDescent="0.3"/>
  <cols>
    <col min="1" max="1" width="80.5546875" customWidth="1"/>
    <col min="3" max="3" width="25.77734375" bestFit="1" customWidth="1"/>
  </cols>
  <sheetData>
    <row r="1" spans="1:4" x14ac:dyDescent="0.3">
      <c r="C1" s="29" t="s">
        <v>61</v>
      </c>
    </row>
    <row r="2" spans="1:4" x14ac:dyDescent="0.3">
      <c r="B2">
        <v>42.75</v>
      </c>
      <c r="C2">
        <v>759</v>
      </c>
    </row>
    <row r="3" spans="1:4" s="24" customFormat="1" ht="15.6" x14ac:dyDescent="0.3">
      <c r="A3" s="26" t="s">
        <v>38</v>
      </c>
      <c r="B3" s="21">
        <v>19.2</v>
      </c>
      <c r="C3" s="27">
        <v>476</v>
      </c>
      <c r="D3" s="30">
        <f>B3/B16</f>
        <v>0.34224598930481287</v>
      </c>
    </row>
    <row r="4" spans="1:4" s="24" customFormat="1" ht="15.6" x14ac:dyDescent="0.3">
      <c r="A4" s="26" t="s">
        <v>41</v>
      </c>
      <c r="B4" s="21">
        <v>9.1</v>
      </c>
      <c r="C4" s="27">
        <v>193</v>
      </c>
      <c r="D4" s="30">
        <f>B4/B16</f>
        <v>0.16221033868092694</v>
      </c>
    </row>
    <row r="5" spans="1:4" s="24" customFormat="1" ht="31.2" x14ac:dyDescent="0.3">
      <c r="A5" s="26" t="s">
        <v>60</v>
      </c>
      <c r="B5" s="21">
        <v>6.35</v>
      </c>
      <c r="C5" s="27">
        <v>63</v>
      </c>
      <c r="D5" s="30">
        <f>B5/B16</f>
        <v>0.11319073083778966</v>
      </c>
    </row>
    <row r="6" spans="1:4" s="24" customFormat="1" ht="15.6" x14ac:dyDescent="0.3">
      <c r="A6" s="19" t="s">
        <v>2</v>
      </c>
      <c r="B6" s="25">
        <v>6.15</v>
      </c>
      <c r="C6" s="28"/>
      <c r="D6" s="30">
        <f>B6/B16</f>
        <v>0.10962566844919788</v>
      </c>
    </row>
    <row r="7" spans="1:4" s="24" customFormat="1" ht="15.6" x14ac:dyDescent="0.3">
      <c r="A7" s="26" t="s">
        <v>43</v>
      </c>
      <c r="B7" s="21">
        <v>5.4</v>
      </c>
      <c r="C7" s="27">
        <v>0</v>
      </c>
      <c r="D7" s="30">
        <f>B7/B16</f>
        <v>9.625668449197862E-2</v>
      </c>
    </row>
    <row r="8" spans="1:4" s="24" customFormat="1" ht="31.2" x14ac:dyDescent="0.3">
      <c r="A8" s="19" t="s">
        <v>5</v>
      </c>
      <c r="B8" s="25">
        <v>3.5</v>
      </c>
      <c r="D8" s="30">
        <f>B8/B16</f>
        <v>6.238859180035651E-2</v>
      </c>
    </row>
    <row r="9" spans="1:4" s="24" customFormat="1" ht="15.6" x14ac:dyDescent="0.3">
      <c r="A9" s="26" t="s">
        <v>8</v>
      </c>
      <c r="B9" s="21">
        <v>2.7</v>
      </c>
      <c r="C9" s="27">
        <v>0</v>
      </c>
      <c r="D9" s="30">
        <f>B9/B16</f>
        <v>4.812834224598931E-2</v>
      </c>
    </row>
    <row r="10" spans="1:4" s="24" customFormat="1" ht="15.6" x14ac:dyDescent="0.3">
      <c r="A10" s="19" t="s">
        <v>11</v>
      </c>
      <c r="B10" s="25">
        <v>1.85</v>
      </c>
      <c r="D10" s="30">
        <f>B10/B16</f>
        <v>3.2976827094474158E-2</v>
      </c>
    </row>
    <row r="11" spans="1:4" s="24" customFormat="1" ht="31.2" x14ac:dyDescent="0.3">
      <c r="A11" s="20" t="s">
        <v>19</v>
      </c>
      <c r="B11" s="25">
        <v>1.3</v>
      </c>
      <c r="D11" s="30">
        <f>B11/B16</f>
        <v>2.3172905525846707E-2</v>
      </c>
    </row>
    <row r="12" spans="1:4" s="24" customFormat="1" ht="15.6" x14ac:dyDescent="0.3">
      <c r="A12" s="19" t="s">
        <v>27</v>
      </c>
      <c r="B12" s="25">
        <v>0.55000000000000004</v>
      </c>
      <c r="D12" s="30">
        <f>B12/B16</f>
        <v>9.8039215686274526E-3</v>
      </c>
    </row>
    <row r="13" spans="1:4" x14ac:dyDescent="0.3">
      <c r="C13" t="s">
        <v>62</v>
      </c>
    </row>
    <row r="16" spans="1:4" x14ac:dyDescent="0.3">
      <c r="B16">
        <f>SUM(B3:B12)</f>
        <v>56.099999999999994</v>
      </c>
    </row>
  </sheetData>
  <sortState xmlns:xlrd2="http://schemas.microsoft.com/office/spreadsheetml/2017/richdata2" ref="A3:B12">
    <sortCondition descending="1" ref="B3:B12"/>
  </sortState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Таблица_Б1 для НИР</vt:lpstr>
      <vt:lpstr>новое разделение на О и С</vt:lpstr>
      <vt:lpstr>новые сценарии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Elvira Mirsaitova</dc:creator>
  <cp:lastModifiedBy>Elvira Mirsaitova</cp:lastModifiedBy>
  <cp:lastPrinted>2026-01-22T11:03:58Z</cp:lastPrinted>
  <dcterms:created xsi:type="dcterms:W3CDTF">2026-01-09T15:04:38Z</dcterms:created>
  <dcterms:modified xsi:type="dcterms:W3CDTF">2026-04-26T09:24:03Z</dcterms:modified>
</cp:coreProperties>
</file>